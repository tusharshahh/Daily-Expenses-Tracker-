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98492DA-D607-453F-A587-FD78290F5A7C}" xr6:coauthVersionLast="47" xr6:coauthVersionMax="47" xr10:uidLastSave="{00000000-0000-0000-0000-000000000000}"/>
  <bookViews>
    <workbookView xWindow="-120" yWindow="-120" windowWidth="20730" windowHeight="11040" xr2:uid="{0B561DE3-26CB-44F1-98BB-1D3B2027A503}"/>
  </bookViews>
  <sheets>
    <sheet name="Expense Tracker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H4" i="1"/>
  <c r="H3" i="1"/>
  <c r="H5" i="1"/>
  <c r="H6" i="1"/>
  <c r="H7" i="1"/>
  <c r="H8" i="1"/>
  <c r="H9" i="1"/>
  <c r="H10" i="1"/>
  <c r="H11" i="1"/>
  <c r="H2" i="1"/>
  <c r="E7" i="1"/>
  <c r="F7" i="1"/>
  <c r="F3" i="1"/>
  <c r="F4" i="1"/>
  <c r="F5" i="1"/>
  <c r="F6" i="1"/>
  <c r="F8" i="1"/>
  <c r="F9" i="1"/>
  <c r="F10" i="1"/>
  <c r="F11" i="1"/>
  <c r="F2" i="1"/>
  <c r="E2" i="1"/>
  <c r="E3" i="1"/>
  <c r="E4" i="1"/>
  <c r="E5" i="1"/>
  <c r="E6" i="1"/>
  <c r="E8" i="1"/>
  <c r="E9" i="1"/>
  <c r="E10" i="1"/>
  <c r="E11" i="1"/>
  <c r="J16" i="1"/>
  <c r="J15" i="1"/>
  <c r="J17" i="1" l="1"/>
  <c r="K18" i="1" l="1"/>
  <c r="K19" i="1"/>
  <c r="K20" i="1"/>
  <c r="K17" i="1"/>
</calcChain>
</file>

<file path=xl/sharedStrings.xml><?xml version="1.0" encoding="utf-8"?>
<sst xmlns="http://schemas.openxmlformats.org/spreadsheetml/2006/main" count="41" uniqueCount="32">
  <si>
    <t>S.no</t>
  </si>
  <si>
    <t>Description</t>
  </si>
  <si>
    <t>Type</t>
  </si>
  <si>
    <t>Amount</t>
  </si>
  <si>
    <t xml:space="preserve">Food </t>
  </si>
  <si>
    <t xml:space="preserve">Fun </t>
  </si>
  <si>
    <t>Investment</t>
  </si>
  <si>
    <t xml:space="preserve">Tea </t>
  </si>
  <si>
    <t xml:space="preserve">Snacks </t>
  </si>
  <si>
    <t>Gulab Jamun</t>
  </si>
  <si>
    <t>Lunch</t>
  </si>
  <si>
    <t>Stationary</t>
  </si>
  <si>
    <t xml:space="preserve">Zerodha </t>
  </si>
  <si>
    <t>ICICI</t>
  </si>
  <si>
    <t xml:space="preserve">Dinner </t>
  </si>
  <si>
    <t xml:space="preserve">Birthday Fun </t>
  </si>
  <si>
    <t>Food</t>
  </si>
  <si>
    <t>Fun</t>
  </si>
  <si>
    <t xml:space="preserve">Total For the day </t>
  </si>
  <si>
    <t xml:space="preserve">Average Transacton Value </t>
  </si>
  <si>
    <t>Food Expen.</t>
  </si>
  <si>
    <t xml:space="preserve">office </t>
  </si>
  <si>
    <t>office</t>
  </si>
  <si>
    <t>Office Expen.</t>
  </si>
  <si>
    <t>Fun Expen.</t>
  </si>
  <si>
    <t>Invesment Expen.</t>
  </si>
  <si>
    <t>Percentage</t>
  </si>
  <si>
    <t>Column1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</si>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</sst>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&quot;₹&quot;\ * #,##0.0_ ;_ &quot;₹&quot;\ * \-#,##0.0_ ;_ &quot;₹&quot;\ * &quot;-&quot;??_ ;_ @_ "/>
    <numFmt numFmtId="171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2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164" fontId="3" fillId="3" borderId="5" xfId="1" applyNumberFormat="1" applyFont="1" applyFill="1" applyBorder="1" applyAlignment="1">
      <alignment horizontal="center" wrapText="1"/>
    </xf>
    <xf numFmtId="0" fontId="0" fillId="3" borderId="6" xfId="0" applyFill="1" applyBorder="1"/>
    <xf numFmtId="0" fontId="3" fillId="3" borderId="5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3" borderId="1" xfId="0" applyFont="1" applyFill="1" applyBorder="1"/>
    <xf numFmtId="10" fontId="0" fillId="3" borderId="6" xfId="0" applyNumberFormat="1" applyFill="1" applyBorder="1"/>
    <xf numFmtId="171" fontId="0" fillId="3" borderId="1" xfId="0" applyNumberFormat="1" applyFill="1" applyBorder="1" applyAlignment="1">
      <alignment horizontal="center"/>
    </xf>
    <xf numFmtId="171" fontId="0" fillId="3" borderId="1" xfId="0" applyNumberFormat="1" applyFill="1" applyBorder="1" applyAlignment="1">
      <alignment horizontal="center" vertical="top"/>
    </xf>
    <xf numFmtId="171" fontId="0" fillId="3" borderId="8" xfId="0" applyNumberFormat="1" applyFill="1" applyBorder="1" applyAlignment="1">
      <alignment horizontal="center"/>
    </xf>
    <xf numFmtId="10" fontId="0" fillId="3" borderId="9" xfId="0" applyNumberFormat="1" applyFill="1" applyBorder="1"/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DAILY</a:t>
            </a:r>
            <a:r>
              <a:rPr lang="en-GB" baseline="0"/>
              <a:t> EXPENSES SUMMARY </a:t>
            </a:r>
            <a:endParaRPr lang="en-GB"/>
          </a:p>
        </c:rich>
      </c:tx>
      <c:layout>
        <c:manualLayout>
          <c:xMode val="edge"/>
          <c:yMode val="edge"/>
          <c:x val="6.3888888888888893E-4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0B3-4E8F-9C87-EBD3A13C29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0B3-4E8F-9C87-EBD3A13C29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0B3-4E8F-9C87-EBD3A13C29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0B3-4E8F-9C87-EBD3A13C298C}"/>
              </c:ext>
            </c:extLst>
          </c:dPt>
          <c:dLbls>
            <c:dLbl>
              <c:idx val="0"/>
              <c:layout>
                <c:manualLayout>
                  <c:x val="0.11721076621310987"/>
                  <c:y val="1.48956274082760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3-4E8F-9C87-EBD3A13C298C}"/>
                </c:ext>
              </c:extLst>
            </c:dLbl>
            <c:dLbl>
              <c:idx val="1"/>
              <c:layout>
                <c:manualLayout>
                  <c:x val="5.3280277866765583E-4"/>
                  <c:y val="4.50934271513933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3-4E8F-9C87-EBD3A13C298C}"/>
                </c:ext>
              </c:extLst>
            </c:dLbl>
            <c:dLbl>
              <c:idx val="2"/>
              <c:layout>
                <c:manualLayout>
                  <c:x val="6.2265834481272993E-2"/>
                  <c:y val="-4.18138943569553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3-4E8F-9C87-EBD3A13C298C}"/>
                </c:ext>
              </c:extLst>
            </c:dLbl>
            <c:dLbl>
              <c:idx val="3"/>
              <c:layout>
                <c:manualLayout>
                  <c:x val="-4.0806335441257016E-2"/>
                  <c:y val="-6.187115246957766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3-4E8F-9C87-EBD3A13C298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'Expense Tracker '!$I$17:$I$20</c:f>
              <c:strCache>
                <c:ptCount val="4"/>
                <c:pt idx="0">
                  <c:v>Food Expen.</c:v>
                </c:pt>
                <c:pt idx="1">
                  <c:v>Fun Expen.</c:v>
                </c:pt>
                <c:pt idx="2">
                  <c:v>Office Expen.</c:v>
                </c:pt>
                <c:pt idx="3">
                  <c:v>Invesment Expen.</c:v>
                </c:pt>
              </c:strCache>
            </c:strRef>
          </c:cat>
          <c:val>
            <c:numRef>
              <c:f>'Expense Tracker '!$J$17:$J$20</c:f>
              <c:numCache>
                <c:formatCode>_ [$₹-4009]\ * #,##0.00_ ;_ [$₹-4009]\ * \-#,##0.00_ ;_ [$₹-4009]\ * "-"??_ ;_ @_ </c:formatCode>
                <c:ptCount val="4"/>
                <c:pt idx="0">
                  <c:v>341</c:v>
                </c:pt>
                <c:pt idx="1">
                  <c:v>2000</c:v>
                </c:pt>
                <c:pt idx="2">
                  <c:v>98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3-4E8F-9C87-EBD3A13C298C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 Tracker '!$I$17:$I$20</c:f>
              <c:strCache>
                <c:ptCount val="4"/>
                <c:pt idx="0">
                  <c:v>Food Expen.</c:v>
                </c:pt>
                <c:pt idx="1">
                  <c:v>Fun Expen.</c:v>
                </c:pt>
                <c:pt idx="2">
                  <c:v>Office Expen.</c:v>
                </c:pt>
                <c:pt idx="3">
                  <c:v>Invesment Expen.</c:v>
                </c:pt>
              </c:strCache>
            </c:strRef>
          </c:cat>
          <c:val>
            <c:numRef>
              <c:f>'Expense Tracker '!$K$17:$K$20</c:f>
              <c:numCache>
                <c:formatCode>0.00%</c:formatCode>
                <c:ptCount val="4"/>
                <c:pt idx="0">
                  <c:v>6.269534840963413E-2</c:v>
                </c:pt>
                <c:pt idx="1">
                  <c:v>0.36771465342893916</c:v>
                </c:pt>
                <c:pt idx="2">
                  <c:v>1.8018018018018018E-2</c:v>
                </c:pt>
                <c:pt idx="3">
                  <c:v>0.55157198014340869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3-4E8F-9C87-EBD3A13C298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81997926817035"/>
          <c:y val="3.2718185828049938E-2"/>
          <c:w val="0.71648118147910933"/>
          <c:h val="0.44748244307299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Tracker '!$J$14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Tracker '!$I$15:$I$20</c:f>
              <c:strCache>
                <c:ptCount val="6"/>
                <c:pt idx="0">
                  <c:v> Total For the day  </c:v>
                </c:pt>
                <c:pt idx="1">
                  <c:v>Average Transacton Value </c:v>
                </c:pt>
                <c:pt idx="2">
                  <c:v>Food Expen.</c:v>
                </c:pt>
                <c:pt idx="3">
                  <c:v>Fun Expen.</c:v>
                </c:pt>
                <c:pt idx="4">
                  <c:v>Office Expen.</c:v>
                </c:pt>
                <c:pt idx="5">
                  <c:v>Invesment Expen.</c:v>
                </c:pt>
              </c:strCache>
            </c:strRef>
          </c:cat>
          <c:val>
            <c:numRef>
              <c:f>'Expense Tracker '!$J$15:$J$20</c:f>
              <c:numCache>
                <c:formatCode>_ [$₹-4009]\ * #,##0.00_ ;_ [$₹-4009]\ * \-#,##0.00_ ;_ [$₹-4009]\ * "-"??_ ;_ @_ </c:formatCode>
                <c:ptCount val="6"/>
                <c:pt idx="0">
                  <c:v>5439</c:v>
                </c:pt>
                <c:pt idx="1">
                  <c:v>543.9</c:v>
                </c:pt>
                <c:pt idx="2">
                  <c:v>341</c:v>
                </c:pt>
                <c:pt idx="3">
                  <c:v>2000</c:v>
                </c:pt>
                <c:pt idx="4">
                  <c:v>98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D-454D-B960-36EE8DBEC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525552"/>
        <c:axId val="1199526032"/>
      </c:barChart>
      <c:lineChart>
        <c:grouping val="standard"/>
        <c:varyColors val="0"/>
        <c:ser>
          <c:idx val="1"/>
          <c:order val="1"/>
          <c:tx>
            <c:strRef>
              <c:f>'Expense Tracker '!$K$14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'Expense Tracker '!$I$15:$I$20</c:f>
              <c:strCache>
                <c:ptCount val="6"/>
                <c:pt idx="0">
                  <c:v> Total For the day  </c:v>
                </c:pt>
                <c:pt idx="1">
                  <c:v>Average Transacton Value </c:v>
                </c:pt>
                <c:pt idx="2">
                  <c:v>Food Expen.</c:v>
                </c:pt>
                <c:pt idx="3">
                  <c:v>Fun Expen.</c:v>
                </c:pt>
                <c:pt idx="4">
                  <c:v>Office Expen.</c:v>
                </c:pt>
                <c:pt idx="5">
                  <c:v>Invesment Expen.</c:v>
                </c:pt>
              </c:strCache>
            </c:strRef>
          </c:cat>
          <c:val>
            <c:numRef>
              <c:f>'Expense Tracker '!$K$15:$K$20</c:f>
              <c:numCache>
                <c:formatCode>General</c:formatCode>
                <c:ptCount val="6"/>
                <c:pt idx="2" formatCode="0.00%">
                  <c:v>6.269534840963413E-2</c:v>
                </c:pt>
                <c:pt idx="3" formatCode="0.00%">
                  <c:v>0.36771465342893916</c:v>
                </c:pt>
                <c:pt idx="4" formatCode="0.00%">
                  <c:v>1.8018018018018018E-2</c:v>
                </c:pt>
                <c:pt idx="5" formatCode="0.00%">
                  <c:v>0.55157198014340869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D-454D-B960-36EE8DBEC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525552"/>
        <c:axId val="1199526032"/>
      </c:lineChart>
      <c:catAx>
        <c:axId val="119952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526032"/>
        <c:crosses val="autoZero"/>
        <c:auto val="1"/>
        <c:lblAlgn val="ctr"/>
        <c:lblOffset val="100"/>
        <c:noMultiLvlLbl val="0"/>
      </c:catAx>
      <c:valAx>
        <c:axId val="11995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525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28576</xdr:colOff>
      <xdr:row>0</xdr:row>
      <xdr:rowOff>0</xdr:rowOff>
    </xdr:from>
    <xdr:to>
      <xdr:col>12</xdr:col>
      <xdr:colOff>476251</xdr:colOff>
      <xdr:row>10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A1B29E-5754-B87D-1DA7-7639853E0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11</xdr:row>
      <xdr:rowOff>19049</xdr:rowOff>
    </xdr:from>
    <xdr:to>
      <xdr:col>6</xdr:col>
      <xdr:colOff>533400</xdr:colOff>
      <xdr:row>20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8F83F-ACE8-2E26-317C-3B535B353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E0F02-41A9-4DD5-99E9-5A124389D0BC}" name="Table1" displayName="Table1" ref="A1:H11" totalsRowShown="0" headerRowDxfId="0" dataDxfId="10" headerRowBorderDxfId="1">
  <tableColumns count="8">
    <tableColumn id="1" xr3:uid="{57D79292-0858-465A-9493-133E3648D304}" name="S.no" dataDxfId="9"/>
    <tableColumn id="2" xr3:uid="{DE51F97D-6333-43C3-B08A-7972904F7042}" name="Description" dataDxfId="8"/>
    <tableColumn id="3" xr3:uid="{22AC3965-D912-4525-968B-BBF0F8E7373E}" name="Type" dataDxfId="7"/>
    <tableColumn id="4" xr3:uid="{66F49D20-E0B1-45A5-B946-DCAA7D142813}" name="Amount" dataDxfId="6"/>
    <tableColumn id="5" xr3:uid="{6475F1BF-04E0-494F-BAE2-00567A6F8C5A}" name="Food " dataDxfId="5">
      <calculatedColumnFormula>COUNTIF(C2,"food")*D2</calculatedColumnFormula>
    </tableColumn>
    <tableColumn id="6" xr3:uid="{6F6EA071-AA53-4C72-9FA4-550527E90872}" name="Fun " dataDxfId="4">
      <calculatedColumnFormula>COUNTIF(C2,"fun")*D2</calculatedColumnFormula>
    </tableColumn>
    <tableColumn id="7" xr3:uid="{B82E9BA9-694F-4943-980B-DFA1002888B5}" name="office" dataDxfId="3">
      <calculatedColumnFormula>COUNTIF(C2,"*office*")*D2</calculatedColumnFormula>
    </tableColumn>
    <tableColumn id="8" xr3:uid="{CF2B1987-219B-4FE7-9D89-80EA8699D7FF}" name="Investment" dataDxfId="2">
      <calculatedColumnFormula>COUNTIF(C2,"investment")*D2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81FB-3FB9-478E-BECD-17E5D52F8CB7}">
  <dimension ref="A1:K20"/>
  <sheetViews>
    <sheetView tabSelected="1" workbookViewId="0">
      <selection activeCell="O13" sqref="O13"/>
    </sheetView>
  </sheetViews>
  <sheetFormatPr defaultRowHeight="15" x14ac:dyDescent="0.25"/>
  <cols>
    <col min="2" max="2" width="13.28515625" customWidth="1"/>
    <col min="3" max="3" width="11.5703125" customWidth="1"/>
    <col min="4" max="4" width="10.85546875" customWidth="1"/>
    <col min="8" max="8" width="13.28515625" customWidth="1"/>
    <col min="9" max="9" width="11.42578125" customWidth="1"/>
    <col min="10" max="10" width="19" customWidth="1"/>
    <col min="11" max="11" width="15.42578125" customWidth="1"/>
    <col min="12" max="12" width="11.42578125" customWidth="1"/>
  </cols>
  <sheetData>
    <row r="1" spans="1:11" s="1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22</v>
      </c>
      <c r="H1" s="21" t="s">
        <v>6</v>
      </c>
    </row>
    <row r="2" spans="1:11" x14ac:dyDescent="0.25">
      <c r="A2" s="18">
        <v>1</v>
      </c>
      <c r="B2" s="19" t="s">
        <v>7</v>
      </c>
      <c r="C2" s="19" t="s">
        <v>16</v>
      </c>
      <c r="D2" s="19">
        <v>15</v>
      </c>
      <c r="E2" s="19">
        <f>COUNTIF(C2,"food")*D2</f>
        <v>15</v>
      </c>
      <c r="F2" s="19">
        <f>COUNTIF(C2,"fun")*D2</f>
        <v>0</v>
      </c>
      <c r="G2" s="19">
        <f>COUNTIF(C2,"*office*")*D2</f>
        <v>0</v>
      </c>
      <c r="H2" s="20">
        <f>COUNTIF(C2,"investment")*D2</f>
        <v>0</v>
      </c>
    </row>
    <row r="3" spans="1:11" x14ac:dyDescent="0.25">
      <c r="A3" s="13">
        <v>2</v>
      </c>
      <c r="B3" s="12" t="s">
        <v>8</v>
      </c>
      <c r="C3" s="12" t="s">
        <v>16</v>
      </c>
      <c r="D3" s="12">
        <v>8</v>
      </c>
      <c r="E3" s="12">
        <f t="shared" ref="E3:E11" si="0">COUNTIF(C3,"food")*D3</f>
        <v>8</v>
      </c>
      <c r="F3" s="12">
        <f t="shared" ref="F3:F11" si="1">COUNTIF(C3,"fun")*D3</f>
        <v>0</v>
      </c>
      <c r="G3" s="12">
        <f t="shared" ref="G3:G11" si="2">COUNTIF(C3,"*office*")*D3</f>
        <v>0</v>
      </c>
      <c r="H3" s="14">
        <f t="shared" ref="H3:H11" si="3">COUNTIF(C3,"investment")*D3</f>
        <v>0</v>
      </c>
    </row>
    <row r="4" spans="1:11" x14ac:dyDescent="0.25">
      <c r="A4" s="13">
        <v>3</v>
      </c>
      <c r="B4" s="12" t="s">
        <v>9</v>
      </c>
      <c r="C4" s="12" t="s">
        <v>16</v>
      </c>
      <c r="D4" s="12">
        <v>20</v>
      </c>
      <c r="E4" s="12">
        <f t="shared" si="0"/>
        <v>20</v>
      </c>
      <c r="F4" s="12">
        <f t="shared" si="1"/>
        <v>0</v>
      </c>
      <c r="G4" s="12">
        <f t="shared" si="2"/>
        <v>0</v>
      </c>
      <c r="H4" s="14">
        <f t="shared" si="3"/>
        <v>0</v>
      </c>
    </row>
    <row r="5" spans="1:11" x14ac:dyDescent="0.25">
      <c r="A5" s="13">
        <v>4</v>
      </c>
      <c r="B5" s="12" t="s">
        <v>10</v>
      </c>
      <c r="C5" s="12" t="s">
        <v>16</v>
      </c>
      <c r="D5" s="12">
        <v>33</v>
      </c>
      <c r="E5" s="12">
        <f t="shared" si="0"/>
        <v>33</v>
      </c>
      <c r="F5" s="12">
        <f t="shared" si="1"/>
        <v>0</v>
      </c>
      <c r="G5" s="12">
        <f t="shared" si="2"/>
        <v>0</v>
      </c>
      <c r="H5" s="14">
        <f t="shared" si="3"/>
        <v>0</v>
      </c>
    </row>
    <row r="6" spans="1:11" x14ac:dyDescent="0.25">
      <c r="A6" s="13">
        <v>5</v>
      </c>
      <c r="B6" s="12" t="s">
        <v>7</v>
      </c>
      <c r="C6" s="12" t="s">
        <v>16</v>
      </c>
      <c r="D6" s="12">
        <v>65</v>
      </c>
      <c r="E6" s="12">
        <f t="shared" si="0"/>
        <v>65</v>
      </c>
      <c r="F6" s="12">
        <f t="shared" si="1"/>
        <v>0</v>
      </c>
      <c r="G6" s="12">
        <f t="shared" si="2"/>
        <v>0</v>
      </c>
      <c r="H6" s="14">
        <f t="shared" si="3"/>
        <v>0</v>
      </c>
    </row>
    <row r="7" spans="1:11" x14ac:dyDescent="0.25">
      <c r="A7" s="13">
        <v>6</v>
      </c>
      <c r="B7" s="12" t="s">
        <v>11</v>
      </c>
      <c r="C7" s="12" t="s">
        <v>21</v>
      </c>
      <c r="D7" s="12">
        <v>98</v>
      </c>
      <c r="E7" s="12">
        <f t="shared" si="0"/>
        <v>0</v>
      </c>
      <c r="F7" s="12">
        <f t="shared" si="1"/>
        <v>0</v>
      </c>
      <c r="G7" s="12">
        <f t="shared" si="2"/>
        <v>98</v>
      </c>
      <c r="H7" s="14">
        <f t="shared" si="3"/>
        <v>0</v>
      </c>
    </row>
    <row r="8" spans="1:11" x14ac:dyDescent="0.25">
      <c r="A8" s="13">
        <v>7</v>
      </c>
      <c r="B8" s="12" t="s">
        <v>12</v>
      </c>
      <c r="C8" s="12" t="s">
        <v>6</v>
      </c>
      <c r="D8" s="12">
        <v>2000</v>
      </c>
      <c r="E8" s="12">
        <f t="shared" si="0"/>
        <v>0</v>
      </c>
      <c r="F8" s="12">
        <f t="shared" si="1"/>
        <v>0</v>
      </c>
      <c r="G8" s="12">
        <f t="shared" si="2"/>
        <v>0</v>
      </c>
      <c r="H8" s="14">
        <f t="shared" si="3"/>
        <v>2000</v>
      </c>
    </row>
    <row r="9" spans="1:11" x14ac:dyDescent="0.25">
      <c r="A9" s="13">
        <v>8</v>
      </c>
      <c r="B9" s="12" t="s">
        <v>13</v>
      </c>
      <c r="C9" s="12" t="s">
        <v>6</v>
      </c>
      <c r="D9" s="12">
        <v>1000</v>
      </c>
      <c r="E9" s="12">
        <f t="shared" si="0"/>
        <v>0</v>
      </c>
      <c r="F9" s="12">
        <f t="shared" si="1"/>
        <v>0</v>
      </c>
      <c r="G9" s="12">
        <f t="shared" si="2"/>
        <v>0</v>
      </c>
      <c r="H9" s="14">
        <f t="shared" si="3"/>
        <v>1000</v>
      </c>
    </row>
    <row r="10" spans="1:11" x14ac:dyDescent="0.25">
      <c r="A10" s="13">
        <v>9</v>
      </c>
      <c r="B10" s="12" t="s">
        <v>14</v>
      </c>
      <c r="C10" s="12" t="s">
        <v>16</v>
      </c>
      <c r="D10" s="12">
        <v>200</v>
      </c>
      <c r="E10" s="12">
        <f t="shared" si="0"/>
        <v>200</v>
      </c>
      <c r="F10" s="12">
        <f t="shared" si="1"/>
        <v>0</v>
      </c>
      <c r="G10" s="12">
        <f t="shared" si="2"/>
        <v>0</v>
      </c>
      <c r="H10" s="14">
        <f t="shared" si="3"/>
        <v>0</v>
      </c>
    </row>
    <row r="11" spans="1:11" ht="15.75" thickBot="1" x14ac:dyDescent="0.3">
      <c r="A11" s="15">
        <v>10</v>
      </c>
      <c r="B11" s="16" t="s">
        <v>15</v>
      </c>
      <c r="C11" s="16" t="s">
        <v>17</v>
      </c>
      <c r="D11" s="16">
        <v>2000</v>
      </c>
      <c r="E11" s="16">
        <f t="shared" si="0"/>
        <v>0</v>
      </c>
      <c r="F11" s="16">
        <f t="shared" si="1"/>
        <v>2000</v>
      </c>
      <c r="G11" s="16">
        <f t="shared" si="2"/>
        <v>0</v>
      </c>
      <c r="H11" s="17">
        <f t="shared" si="3"/>
        <v>0</v>
      </c>
    </row>
    <row r="12" spans="1:11" x14ac:dyDescent="0.25">
      <c r="I12" s="2"/>
    </row>
    <row r="13" spans="1:11" ht="15.75" thickBot="1" x14ac:dyDescent="0.3">
      <c r="I13" s="2"/>
    </row>
    <row r="14" spans="1:11" x14ac:dyDescent="0.25">
      <c r="I14" s="3"/>
      <c r="J14" s="4" t="s">
        <v>3</v>
      </c>
      <c r="K14" s="5" t="s">
        <v>26</v>
      </c>
    </row>
    <row r="15" spans="1:11" ht="30" x14ac:dyDescent="0.25">
      <c r="I15" s="6" t="s">
        <v>18</v>
      </c>
      <c r="J15" s="23">
        <f>SUM(D2:D11)</f>
        <v>5439</v>
      </c>
      <c r="K15" s="7"/>
    </row>
    <row r="16" spans="1:11" ht="45" x14ac:dyDescent="0.25">
      <c r="I16" s="8" t="s">
        <v>19</v>
      </c>
      <c r="J16" s="24">
        <f>AVERAGE(D2:D12)</f>
        <v>543.9</v>
      </c>
      <c r="K16" s="7"/>
    </row>
    <row r="17" spans="9:11" x14ac:dyDescent="0.25">
      <c r="I17" s="9" t="s">
        <v>20</v>
      </c>
      <c r="J17" s="24">
        <f>SUM(E2:E11)</f>
        <v>341</v>
      </c>
      <c r="K17" s="22">
        <f>J17/SUM($J$17:$J$20)</f>
        <v>6.269534840963413E-2</v>
      </c>
    </row>
    <row r="18" spans="9:11" x14ac:dyDescent="0.25">
      <c r="I18" s="10" t="s">
        <v>24</v>
      </c>
      <c r="J18" s="23">
        <v>2000</v>
      </c>
      <c r="K18" s="22">
        <f>J18/SUM($J$17:$J$20)</f>
        <v>0.36771465342893916</v>
      </c>
    </row>
    <row r="19" spans="9:11" ht="30" x14ac:dyDescent="0.25">
      <c r="I19" s="10" t="s">
        <v>23</v>
      </c>
      <c r="J19" s="23">
        <v>98</v>
      </c>
      <c r="K19" s="22">
        <f>J19/SUM($J$17:$J$20)</f>
        <v>1.8018018018018018E-2</v>
      </c>
    </row>
    <row r="20" spans="9:11" ht="30.75" thickBot="1" x14ac:dyDescent="0.3">
      <c r="I20" s="11" t="s">
        <v>25</v>
      </c>
      <c r="J20" s="25">
        <v>3000</v>
      </c>
      <c r="K20" s="26">
        <f>J20/SUM($J$17:$J$20)</f>
        <v>0.55157198014340869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Tracker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Abhishek Shah</cp:lastModifiedBy>
  <dcterms:created xsi:type="dcterms:W3CDTF">2026-09-26T15:21:37Z</dcterms:created>
  <dcterms:modified xsi:type="dcterms:W3CDTF">2026-09-26T17:36:30Z</dcterms:modified>
</cp:coreProperties>
</file>